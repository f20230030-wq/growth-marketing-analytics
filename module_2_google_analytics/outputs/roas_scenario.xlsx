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0.00"/>
    <numFmt numFmtId="166" formatCode="0.00x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9" fontId="0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2" borderId="0" pivotButton="0" quotePrefix="0" xfId="0"/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Paid Search ROAS / CAC Scenario Analysis</t>
        </is>
      </c>
    </row>
    <row r="2">
      <c r="A2" t="inlineStr">
        <is>
          <t>Advertising spend is ASSUMED for scenario analysis and is not part of the original dataset. Sessions are used as a proxy for paid clicks.</t>
        </is>
      </c>
    </row>
    <row r="4">
      <c r="A4" t="inlineStr">
        <is>
          <t>Gross margin (assumption)</t>
        </is>
      </c>
      <c r="B4" s="2" t="n">
        <v>0.5</v>
      </c>
    </row>
    <row r="6">
      <c r="A6" s="3" t="inlineStr">
        <is>
          <t>Segment</t>
        </is>
      </c>
      <c r="B6" s="3" t="inlineStr">
        <is>
          <t>Sessions (≈clicks)</t>
        </is>
      </c>
      <c r="C6" s="3" t="inlineStr">
        <is>
          <t>Buying sessions</t>
        </is>
      </c>
      <c r="D6" s="3" t="inlineStr">
        <is>
          <t>Revenue $</t>
        </is>
      </c>
      <c r="E6" s="3" t="inlineStr">
        <is>
          <t>Assumed CPC $</t>
        </is>
      </c>
      <c r="F6" s="3" t="inlineStr">
        <is>
          <t>Spend $</t>
        </is>
      </c>
      <c r="G6" s="3" t="inlineStr">
        <is>
          <t>ROAS</t>
        </is>
      </c>
      <c r="H6" s="3" t="inlineStr">
        <is>
          <t>CAC $</t>
        </is>
      </c>
      <c r="I6" s="3" t="inlineStr">
        <is>
          <t>ROMI</t>
        </is>
      </c>
      <c r="J6" s="3" t="inlineStr">
        <is>
          <t>Break-even CPC (revenue)</t>
        </is>
      </c>
      <c r="K6" s="3" t="inlineStr">
        <is>
          <t>Break-even CPC (profit)</t>
        </is>
      </c>
    </row>
    <row r="7">
      <c r="A7" t="inlineStr">
        <is>
          <t>Paid Search (total)</t>
        </is>
      </c>
      <c r="B7" t="n">
        <v>25326</v>
      </c>
      <c r="C7" t="n">
        <v>469</v>
      </c>
      <c r="D7" s="4" t="n">
        <v>43558.9</v>
      </c>
      <c r="E7" s="5" t="n">
        <v>1</v>
      </c>
      <c r="F7" s="4">
        <f>B7*E7</f>
        <v/>
      </c>
      <c r="G7" s="6">
        <f>D7/F7</f>
        <v/>
      </c>
      <c r="H7" s="7">
        <f>F7/C7</f>
        <v/>
      </c>
      <c r="I7" s="8">
        <f>(D7*$B$4-F7)/F7</f>
        <v/>
      </c>
      <c r="J7" s="7">
        <f>D7/B7</f>
        <v/>
      </c>
      <c r="K7" s="7">
        <f>D7*$B$4/B7</f>
        <v/>
      </c>
    </row>
    <row r="8">
      <c r="A8" t="inlineStr">
        <is>
          <t>AW - Dynamic Search Ads</t>
        </is>
      </c>
      <c r="B8" t="n">
        <v>6213</v>
      </c>
      <c r="C8" t="n">
        <v>138</v>
      </c>
      <c r="D8" s="4" t="n">
        <v>10787.36</v>
      </c>
      <c r="E8" s="5" t="n">
        <v>1</v>
      </c>
      <c r="F8" s="4">
        <f>B8*E8</f>
        <v/>
      </c>
      <c r="G8" s="6">
        <f>D8/F8</f>
        <v/>
      </c>
      <c r="H8" s="7">
        <f>F8/C8</f>
        <v/>
      </c>
      <c r="I8" s="8">
        <f>(D8*$B$4-F8)/F8</f>
        <v/>
      </c>
      <c r="J8" s="7">
        <f>D8/B8</f>
        <v/>
      </c>
      <c r="K8" s="7">
        <f>D8*$B$4/B8</f>
        <v/>
      </c>
    </row>
    <row r="9">
      <c r="A9" t="inlineStr">
        <is>
          <t>AW - Accessories</t>
        </is>
      </c>
      <c r="B9" t="n">
        <v>5327</v>
      </c>
      <c r="C9" t="n">
        <v>98</v>
      </c>
      <c r="D9" s="4" t="n">
        <v>13997.55</v>
      </c>
      <c r="E9" s="5" t="n">
        <v>1</v>
      </c>
      <c r="F9" s="4">
        <f>B9*E9</f>
        <v/>
      </c>
      <c r="G9" s="6">
        <f>D9/F9</f>
        <v/>
      </c>
      <c r="H9" s="7">
        <f>F9/C9</f>
        <v/>
      </c>
      <c r="I9" s="8">
        <f>(D9*$B$4-F9)/F9</f>
        <v/>
      </c>
      <c r="J9" s="7">
        <f>D9/B9</f>
        <v/>
      </c>
      <c r="K9" s="7">
        <f>D9*$B$4/B9</f>
        <v/>
      </c>
    </row>
    <row r="12">
      <c r="A12" s="3" t="inlineStr">
        <is>
          <t>Sensitivity: Paid Search (total) at different CPCs</t>
        </is>
      </c>
    </row>
    <row r="13">
      <c r="A13" s="3" t="inlineStr">
        <is>
          <t>Assumed CPC $</t>
        </is>
      </c>
      <c r="B13" s="3" t="inlineStr">
        <is>
          <t>Spend $</t>
        </is>
      </c>
      <c r="C13" s="3" t="inlineStr">
        <is>
          <t>ROAS</t>
        </is>
      </c>
      <c r="D13" s="3" t="inlineStr">
        <is>
          <t>CAC $</t>
        </is>
      </c>
      <c r="E13" s="3" t="inlineStr">
        <is>
          <t>ROMI</t>
        </is>
      </c>
      <c r="F13" s="3" t="inlineStr">
        <is>
          <t>Verdict</t>
        </is>
      </c>
    </row>
    <row r="14">
      <c r="A14" s="7" t="n">
        <v>0.25</v>
      </c>
      <c r="B14" s="4">
        <f>$B$7*A14</f>
        <v/>
      </c>
      <c r="C14" s="6">
        <f>$D$7/B14</f>
        <v/>
      </c>
      <c r="D14" s="7">
        <f>B14/$C$7</f>
        <v/>
      </c>
      <c r="E14" s="8">
        <f>($D$7*$B$4-B14)/B14</f>
        <v/>
      </c>
      <c r="F14">
        <f>IF(E14&gt;0,"Profitable","Loss-making")</f>
        <v/>
      </c>
    </row>
    <row r="15">
      <c r="A15" s="7" t="n">
        <v>0.5</v>
      </c>
      <c r="B15" s="4">
        <f>$B$7*A15</f>
        <v/>
      </c>
      <c r="C15" s="6">
        <f>$D$7/B15</f>
        <v/>
      </c>
      <c r="D15" s="7">
        <f>B15/$C$7</f>
        <v/>
      </c>
      <c r="E15" s="8">
        <f>($D$7*$B$4-B15)/B15</f>
        <v/>
      </c>
      <c r="F15">
        <f>IF(E15&gt;0,"Profitable","Loss-making")</f>
        <v/>
      </c>
    </row>
    <row r="16">
      <c r="A16" s="7" t="n">
        <v>0.75</v>
      </c>
      <c r="B16" s="4">
        <f>$B$7*A16</f>
        <v/>
      </c>
      <c r="C16" s="6">
        <f>$D$7/B16</f>
        <v/>
      </c>
      <c r="D16" s="7">
        <f>B16/$C$7</f>
        <v/>
      </c>
      <c r="E16" s="8">
        <f>($D$7*$B$4-B16)/B16</f>
        <v/>
      </c>
      <c r="F16">
        <f>IF(E16&gt;0,"Profitable","Loss-making")</f>
        <v/>
      </c>
    </row>
    <row r="17">
      <c r="A17" s="7" t="n">
        <v>1</v>
      </c>
      <c r="B17" s="4">
        <f>$B$7*A17</f>
        <v/>
      </c>
      <c r="C17" s="6">
        <f>$D$7/B17</f>
        <v/>
      </c>
      <c r="D17" s="7">
        <f>B17/$C$7</f>
        <v/>
      </c>
      <c r="E17" s="8">
        <f>($D$7*$B$4-B17)/B17</f>
        <v/>
      </c>
      <c r="F17">
        <f>IF(E17&gt;0,"Profitable","Loss-making")</f>
        <v/>
      </c>
    </row>
    <row r="18">
      <c r="A18" s="7" t="n">
        <v>1.25</v>
      </c>
      <c r="B18" s="4">
        <f>$B$7*A18</f>
        <v/>
      </c>
      <c r="C18" s="6">
        <f>$D$7/B18</f>
        <v/>
      </c>
      <c r="D18" s="7">
        <f>B18/$C$7</f>
        <v/>
      </c>
      <c r="E18" s="8">
        <f>($D$7*$B$4-B18)/B18</f>
        <v/>
      </c>
      <c r="F18">
        <f>IF(E18&gt;0,"Profitable","Loss-making")</f>
        <v/>
      </c>
    </row>
    <row r="19">
      <c r="A19" s="7" t="n">
        <v>1.5</v>
      </c>
      <c r="B19" s="4">
        <f>$B$7*A19</f>
        <v/>
      </c>
      <c r="C19" s="6">
        <f>$D$7/B19</f>
        <v/>
      </c>
      <c r="D19" s="7">
        <f>B19/$C$7</f>
        <v/>
      </c>
      <c r="E19" s="8">
        <f>($D$7*$B$4-B19)/B19</f>
        <v/>
      </c>
      <c r="F19">
        <f>IF(E19&gt;0,"Profitable","Loss-making")</f>
        <v/>
      </c>
    </row>
    <row r="20">
      <c r="A20" s="7" t="n">
        <v>1.75</v>
      </c>
      <c r="B20" s="4">
        <f>$B$7*A20</f>
        <v/>
      </c>
      <c r="C20" s="6">
        <f>$D$7/B20</f>
        <v/>
      </c>
      <c r="D20" s="7">
        <f>B20/$C$7</f>
        <v/>
      </c>
      <c r="E20" s="8">
        <f>($D$7*$B$4-B20)/B20</f>
        <v/>
      </c>
      <c r="F20">
        <f>IF(E20&gt;0,"Profitable","Loss-making")</f>
        <v/>
      </c>
    </row>
    <row r="21">
      <c r="A21" s="7" t="n">
        <v>2</v>
      </c>
      <c r="B21" s="4">
        <f>$B$7*A21</f>
        <v/>
      </c>
      <c r="C21" s="6">
        <f>$D$7/B21</f>
        <v/>
      </c>
      <c r="D21" s="7">
        <f>B21/$C$7</f>
        <v/>
      </c>
      <c r="E21" s="8">
        <f>($D$7*$B$4-B21)/B21</f>
        <v/>
      </c>
      <c r="F21">
        <f>IF(E21&gt;0,"Profitable","Loss-making")</f>
        <v/>
      </c>
    </row>
    <row r="22">
      <c r="A22" s="7" t="n">
        <v>2.5</v>
      </c>
      <c r="B22" s="4">
        <f>$B$7*A22</f>
        <v/>
      </c>
      <c r="C22" s="6">
        <f>$D$7/B22</f>
        <v/>
      </c>
      <c r="D22" s="7">
        <f>B22/$C$7</f>
        <v/>
      </c>
      <c r="E22" s="8">
        <f>($D$7*$B$4-B22)/B22</f>
        <v/>
      </c>
      <c r="F22">
        <f>IF(E22&gt;0,"Profitable","Loss-making")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2026-09-24T15:08:14Z</dcterms:created>
  <dcterms:modified xsi:type="dcterms:W3CDTF">2026-09-24T15:08:14Z</dcterms:modified>
</cp:coreProperties>
</file>